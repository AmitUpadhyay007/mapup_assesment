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AC03422-998A-4C9A-A395-C055A334EA02}" xr6:coauthVersionLast="47" xr6:coauthVersionMax="47" xr10:uidLastSave="{00000000-0000-0000-0000-000000000000}"/>
  <bookViews>
    <workbookView xWindow="-120" yWindow="-120" windowWidth="20730" windowHeight="11310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C30" i="18"/>
  <c r="D30" i="18"/>
  <c r="E30" i="18"/>
  <c r="F30" i="18"/>
  <c r="C29" i="18"/>
  <c r="D29" i="18"/>
  <c r="E29" i="18"/>
  <c r="F29" i="18"/>
  <c r="C28" i="18"/>
  <c r="D28" i="18"/>
  <c r="E28" i="18"/>
  <c r="F28" i="18"/>
  <c r="B30" i="18"/>
  <c r="B29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F6" i="18"/>
  <c r="E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</calcChain>
</file>

<file path=xl/sharedStrings.xml><?xml version="1.0" encoding="utf-8"?>
<sst xmlns="http://schemas.openxmlformats.org/spreadsheetml/2006/main" count="402" uniqueCount="179">
  <si>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</si>
  <si>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</si>
  <si>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</si>
  <si>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</si>
  <si>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</si>
  <si>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</si>
  <si>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</si>
  <si>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</si>
  <si>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</si>
  <si>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</si>
  <si>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</si>
  <si>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</si>
  <si>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</si>
  <si>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</si>
  <si>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</si>
  <si>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</si>
  <si>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</si>
  <si>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</si>
  <si>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</si>
  <si>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</si>
  <si>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</si>
  <si>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</si>
  <si>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</si>
  <si>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</si>
  <si>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</si>
  <si>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</si>
  <si>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</si>
  <si>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</si>
  <si>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</si>
  <si>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</si>
  <si>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</si>
  <si>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</si>
  <si>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</si>
  <si>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</si>
  <si>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</si>
  <si>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</si>
  <si>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</si>
  <si>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</si>
  <si>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</si>
  <si>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</si>
  <si>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</si>
  <si>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</si>
  <si>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</si>
  <si>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</si>
  <si>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</si>
  <si>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</si>
  <si>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</si>
  <si>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</si>
  <si>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</si>
  <si>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</si>
  <si>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</si>
  <si>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</si>
  <si>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</si>
  <si>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</si>
  <si>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</si>
  <si>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</si>
  <si>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</si>
  <si>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</si>
  <si>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</si>
  <si>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</si>
  <si>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</si>
  <si>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</si>
  <si>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</si>
  <si>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</si>
  <si>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</si>
  <si>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</si>
  <si>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</si>
  <si>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</si>
  <si>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</si>
  <si>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</si>
  <si>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</si>
  <si>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</si>
  <si>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</si>
  <si>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</si>
  <si>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</si>
  <si>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</si>
  <si>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</si>
  <si>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</si>
  <si>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</si>
  <si>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</si>
  <si>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</si>
  <si>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</si>
  <si>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</si>
  <si>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</si>
  <si>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</si>
  <si>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</si>
  <si>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</si>
  <si>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</si>
  <si>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</si>
  <si>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</si>
  <si>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</si>
  <si>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</si>
  <si>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</si>
  <si>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</si>
  <si>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</si>
  <si>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</si>
  <si>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</si>
  <si>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</si>
  <si>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</si>
  <si>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</si>
  <si>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</si>
  <si>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</si>
  <si>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</si>
  <si>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</si>
  <si>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</si>
  <si>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</si>
  <si>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</si>
  <si>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</si>
  <si>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</si>
  <si>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</si>
  <si>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</si>
  <si>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</si>
  <si>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</si>
  <si>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</si>
  <si>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</si>
  <si>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</si>
  <si>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</si>
  <si>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</si>
  <si>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</si>
  <si>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</si>
  <si>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</si>
  <si>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</si>
  <si>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</si>
  <si>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</si>
  <si>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</si>
  <si>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</si>
  <si>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</si>
  <si>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</si>
  <si>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</si>
  <si>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</si>
  <si>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</si>
  <si>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</si>
  <si>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</si>
  <si>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</si>
  <si>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</si>
  <si>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</si>
  <si>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</si>
  <si>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</si>
  <si>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</si>
  <si>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</si>
  <si>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</si>
  <si>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</si>
  <si>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</si>
  <si>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</si>
  <si>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</si>
  <si>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</si>
  <si>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</si>
  <si>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</si>
  <si>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</si>
  <si>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</si>
  <si>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</si>
  <si>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</si>
  <si>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</si>
  <si>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</si>
  <si>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</si>
  <si>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</si>
  <si>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</si>
  <si>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</si>
  <si>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</si>
  <si>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</si>
  <si>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</si>
  <si>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</si>
  <si>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</si>
  <si>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</si>
  <si>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</si>
  <si>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</si>
  <si>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</si>
  <si>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</si>
  <si>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</si>
  <si>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</si>
  <si>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</si>
  <si>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</si>
  <si>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</si>
  <si>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</si>
  <si>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</si>
  <si>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</si>
  <si>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</si>
  <si>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SUMIF(H2:H40, "&gt;20")</t>
  </si>
  <si>
    <t>find and replace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</si>
</sst>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7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7" fontId="3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2.75" x14ac:dyDescent="0.2"/>
  <cols>
    <col min="1" max="1" width="70.83203125" style="2" bestFit="1" customWidth="1"/>
    <col min="2" max="16384" width="11" style="2"/>
  </cols>
  <sheetData>
    <row r="1" spans="1:3" ht="18.75" x14ac:dyDescent="0.3">
      <c r="A1" s="39" t="s">
        <v>108</v>
      </c>
    </row>
    <row r="2" spans="1:3" x14ac:dyDescent="0.2">
      <c r="A2" s="2" t="s">
        <v>109</v>
      </c>
    </row>
    <row r="3" spans="1:3" x14ac:dyDescent="0.2">
      <c r="A3" s="2" t="s">
        <v>110</v>
      </c>
    </row>
    <row r="4" spans="1:3" ht="15" x14ac:dyDescent="0.25">
      <c r="A4" s="2" t="s">
        <v>176</v>
      </c>
      <c r="C4" s="1"/>
    </row>
    <row r="5" spans="1:3" x14ac:dyDescent="0.2">
      <c r="A5" s="2" t="s">
        <v>151</v>
      </c>
    </row>
    <row r="8" spans="1:3" x14ac:dyDescent="0.2">
      <c r="A8" s="2" t="s">
        <v>172</v>
      </c>
    </row>
    <row r="9" spans="1:3" x14ac:dyDescent="0.2">
      <c r="A9" s="36" t="s">
        <v>170</v>
      </c>
      <c r="B9" s="26" t="s">
        <v>168</v>
      </c>
    </row>
    <row r="10" spans="1:3" x14ac:dyDescent="0.2">
      <c r="A10" s="35" t="s">
        <v>171</v>
      </c>
      <c r="B10" s="37">
        <v>25</v>
      </c>
    </row>
    <row r="11" spans="1:3" x14ac:dyDescent="0.2">
      <c r="A11" s="35" t="s">
        <v>55</v>
      </c>
      <c r="B11" s="37">
        <v>30</v>
      </c>
    </row>
    <row r="12" spans="1:3" x14ac:dyDescent="0.2">
      <c r="A12" s="35" t="s">
        <v>56</v>
      </c>
      <c r="B12" s="37">
        <v>10</v>
      </c>
    </row>
    <row r="13" spans="1:3" x14ac:dyDescent="0.2">
      <c r="A13" s="35" t="s">
        <v>85</v>
      </c>
      <c r="B13" s="37">
        <v>20</v>
      </c>
    </row>
    <row r="14" spans="1:3" x14ac:dyDescent="0.2">
      <c r="A14" s="35" t="s">
        <v>98</v>
      </c>
      <c r="B14" s="37">
        <v>40</v>
      </c>
    </row>
    <row r="15" spans="1:3" x14ac:dyDescent="0.2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J1" zoomScaleNormal="100" workbookViewId="0">
      <pane ySplit="1" topLeftCell="A2" activePane="bottomLeft" state="frozen"/>
      <selection pane="bottomLeft" activeCell="X2" sqref="X2:X40"/>
    </sheetView>
  </sheetViews>
  <sheetFormatPr defaultColWidth="9" defaultRowHeight="15" x14ac:dyDescent="0.25"/>
  <cols>
    <col min="1" max="1" width="25.33203125" style="1" bestFit="1" customWidth="1"/>
    <col min="2" max="2" width="7.33203125" style="1" bestFit="1" customWidth="1"/>
    <col min="3" max="3" width="10.6640625" style="1" bestFit="1" customWidth="1"/>
    <col min="4" max="4" width="11.83203125" style="24" bestFit="1" customWidth="1"/>
    <col min="5" max="5" width="10" style="1" bestFit="1" customWidth="1"/>
    <col min="6" max="6" width="11.1640625" style="24" bestFit="1" customWidth="1"/>
    <col min="7" max="9" width="12.83203125" style="1" bestFit="1" customWidth="1"/>
    <col min="10" max="12" width="13" style="1" bestFit="1" customWidth="1"/>
    <col min="13" max="15" width="14.1640625" style="1" bestFit="1" customWidth="1"/>
    <col min="16" max="18" width="14.33203125" style="1" bestFit="1" customWidth="1"/>
    <col min="19" max="20" width="18.83203125" style="1" bestFit="1" customWidth="1"/>
    <col min="21" max="23" width="19" style="1" bestFit="1" customWidth="1"/>
    <col min="24" max="24" width="12.6640625" style="1" bestFit="1" customWidth="1"/>
    <col min="25" max="16384" width="9" style="1"/>
  </cols>
  <sheetData>
    <row r="1" spans="1:24" s="3" customFormat="1" ht="14.85" customHeight="1" x14ac:dyDescent="0.2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105</v>
      </c>
    </row>
    <row r="2" spans="1:24" x14ac:dyDescent="0.2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2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2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2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2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2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2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2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2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2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2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2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2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2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2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2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2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2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2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2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2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2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2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2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2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2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2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2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2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2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2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2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2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2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2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2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2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2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2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</sheetData>
  <conditionalFormatting sqref="A1:A1048576">
    <cfRule type="duplicateValues" dxfId="6" priority="4"/>
  </conditionalFormatting>
  <conditionalFormatting sqref="B1:B1048576">
    <cfRule type="duplicateValues" dxfId="5" priority="3"/>
  </conditionalFormatting>
  <conditionalFormatting sqref="J2:L40">
    <cfRule type="cellIs" dxfId="0" priority="2" operator="equal">
      <formula>-1</formula>
    </cfRule>
    <cfRule type="cellIs" dxfId="1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6" sqref="C6"/>
    </sheetView>
  </sheetViews>
  <sheetFormatPr defaultColWidth="11" defaultRowHeight="15" x14ac:dyDescent="0.25"/>
  <cols>
    <col min="1" max="1" width="8.33203125" style="1" bestFit="1" customWidth="1"/>
    <col min="2" max="2" width="65.83203125" style="1" bestFit="1" customWidth="1"/>
    <col min="3" max="3" width="27.6640625" style="1" bestFit="1" customWidth="1"/>
    <col min="4" max="4" width="11" style="1"/>
    <col min="5" max="5" width="14.33203125" style="1" bestFit="1" customWidth="1"/>
    <col min="6" max="16384" width="11" style="1"/>
  </cols>
  <sheetData>
    <row r="1" spans="1:5" x14ac:dyDescent="0.2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25">
      <c r="A2" s="2"/>
      <c r="B2" s="5" t="s">
        <v>159</v>
      </c>
      <c r="C2" s="2"/>
    </row>
    <row r="3" spans="1:5" x14ac:dyDescent="0.2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25">
      <c r="A4" s="6">
        <v>2</v>
      </c>
      <c r="B4" s="2" t="s">
        <v>46</v>
      </c>
      <c r="C4" s="2"/>
      <c r="E4" s="1">
        <v>5</v>
      </c>
    </row>
    <row r="5" spans="1:5" x14ac:dyDescent="0.25">
      <c r="A5" s="6">
        <v>3</v>
      </c>
      <c r="B5" s="2" t="s">
        <v>104</v>
      </c>
      <c r="C5" s="34" t="s">
        <v>177</v>
      </c>
      <c r="E5" s="1">
        <v>10</v>
      </c>
    </row>
    <row r="6" spans="1:5" x14ac:dyDescent="0.25">
      <c r="A6" s="6">
        <v>4</v>
      </c>
      <c r="B6" s="2" t="s">
        <v>106</v>
      </c>
      <c r="C6" s="2"/>
      <c r="E6" s="1">
        <v>5</v>
      </c>
    </row>
    <row r="7" spans="1:5" x14ac:dyDescent="0.25">
      <c r="A7" s="2"/>
      <c r="B7" s="2"/>
      <c r="C7" s="2"/>
    </row>
    <row r="13" spans="1:5" x14ac:dyDescent="0.25">
      <c r="E13" s="2"/>
    </row>
    <row r="14" spans="1:5" x14ac:dyDescent="0.2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5" zoomScaleNormal="100" workbookViewId="0">
      <selection activeCell="F29" sqref="F29"/>
    </sheetView>
  </sheetViews>
  <sheetFormatPr defaultColWidth="11" defaultRowHeight="12.75" x14ac:dyDescent="0.2"/>
  <cols>
    <col min="1" max="1" width="18.6640625" style="2" bestFit="1" customWidth="1"/>
    <col min="2" max="6" width="15.33203125" style="2" customWidth="1"/>
    <col min="7" max="7" width="11" style="2"/>
    <col min="8" max="8" width="14.33203125" style="2" bestFit="1" customWidth="1"/>
    <col min="9" max="16384" width="11" style="2"/>
  </cols>
  <sheetData>
    <row r="1" spans="1:7" s="41" customFormat="1" ht="21" x14ac:dyDescent="0.35">
      <c r="A1" s="42" t="s">
        <v>55</v>
      </c>
      <c r="B1" s="41" t="s">
        <v>163</v>
      </c>
    </row>
    <row r="2" spans="1:7" s="41" customFormat="1" ht="21" x14ac:dyDescent="0.35">
      <c r="B2" s="41" t="s">
        <v>160</v>
      </c>
    </row>
    <row r="3" spans="1:7" ht="15" x14ac:dyDescent="0.25">
      <c r="A3" s="1"/>
      <c r="B3" s="1"/>
      <c r="C3" s="1"/>
      <c r="D3" s="1"/>
      <c r="E3" s="1"/>
      <c r="F3" s="1"/>
      <c r="G3" s="1"/>
    </row>
    <row r="4" spans="1:7" ht="23.25" x14ac:dyDescent="0.35">
      <c r="A4" s="18" t="s">
        <v>161</v>
      </c>
      <c r="B4" s="1"/>
      <c r="C4" s="1"/>
      <c r="D4" s="1"/>
      <c r="E4" s="1"/>
      <c r="F4" s="1"/>
      <c r="G4" s="1"/>
    </row>
    <row r="5" spans="1:7" ht="15" x14ac:dyDescent="0.2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5" x14ac:dyDescent="0.25">
      <c r="A6" s="7" t="s">
        <v>40</v>
      </c>
      <c r="B6" s="12">
        <f>VLOOKUP(Task_2!A6,Dataset!A1:X40,7,FALSE)</f>
        <v>2.7</v>
      </c>
      <c r="C6" s="12">
        <f>VLOOKUP(Task_2!A6,Dataset!A1:X40,14,FALSE)</f>
        <v>7.6</v>
      </c>
      <c r="D6" s="12">
        <f>VLOOKUP(Task_2!A6,Dataset!A1:X40,18,FALSE)</f>
        <v>4.2</v>
      </c>
      <c r="E6" s="12">
        <f>VLOOKUP(Task_2!A6,Dataset!A1:X40,20,FALSE)</f>
        <v>8.9</v>
      </c>
      <c r="F6" s="8">
        <f>VLOOKUP(Task_2!A6,Dataset!A1:X40,22,FALSE)</f>
        <v>4.2</v>
      </c>
    </row>
    <row r="7" spans="1:7" ht="15" x14ac:dyDescent="0.25">
      <c r="A7" s="7" t="s">
        <v>4</v>
      </c>
      <c r="B7" s="12">
        <f>VLOOKUP(Task_2!A7,Dataset!A2:X41,7,FALSE)</f>
        <v>2.7</v>
      </c>
      <c r="C7" s="12">
        <f>VLOOKUP(Task_2!A7,Dataset!A2:X41,14,FALSE)</f>
        <v>7.6</v>
      </c>
      <c r="D7" s="12">
        <f>VLOOKUP(Task_2!A7,Dataset!A2:X41,18,FALSE)</f>
        <v>4.2</v>
      </c>
      <c r="E7" s="12">
        <f>VLOOKUP(Task_2!A7,Dataset!A2:X41,20,FALSE)</f>
        <v>8.9</v>
      </c>
      <c r="F7" s="8">
        <f>VLOOKUP(Task_2!A7,Dataset!A2:X41,22,FALSE)</f>
        <v>4.2</v>
      </c>
    </row>
    <row r="8" spans="1:7" ht="15" x14ac:dyDescent="0.25">
      <c r="A8" s="7" t="s">
        <v>7</v>
      </c>
      <c r="B8" s="12">
        <f>VLOOKUP(Task_2!A8,Dataset!A3:X42,7,FALSE)</f>
        <v>3.6</v>
      </c>
      <c r="C8" s="12">
        <f>VLOOKUP(Task_2!A8,Dataset!A3:X42,14,FALSE)</f>
        <v>11.1</v>
      </c>
      <c r="D8" s="12">
        <f>VLOOKUP(Task_2!A8,Dataset!A3:X42,18,FALSE)</f>
        <v>5.8</v>
      </c>
      <c r="E8" s="12">
        <f>VLOOKUP(Task_2!A8,Dataset!A3:X42,20,FALSE)</f>
        <v>12.2</v>
      </c>
      <c r="F8" s="8">
        <f>VLOOKUP(Task_2!A8,Dataset!A3:X42,22,FALSE)</f>
        <v>5.8</v>
      </c>
    </row>
    <row r="9" spans="1:7" ht="15" x14ac:dyDescent="0.25">
      <c r="A9" s="7" t="s">
        <v>8</v>
      </c>
      <c r="B9" s="12">
        <f>VLOOKUP(Task_2!A9,Dataset!A4:X43,7,FALSE)</f>
        <v>4.9000000000000004</v>
      </c>
      <c r="C9" s="12">
        <f>VLOOKUP(Task_2!A9,Dataset!A4:X43,14,FALSE)</f>
        <v>13.3</v>
      </c>
      <c r="D9" s="12">
        <f>VLOOKUP(Task_2!A9,Dataset!A4:X43,18,FALSE)</f>
        <v>8.1</v>
      </c>
      <c r="E9" s="12">
        <f>VLOOKUP(Task_2!A9,Dataset!A4:X43,20,FALSE)</f>
        <v>17</v>
      </c>
      <c r="F9" s="8">
        <f>VLOOKUP(Task_2!A9,Dataset!A4:X43,22,FALSE)</f>
        <v>8.1</v>
      </c>
    </row>
    <row r="10" spans="1:7" ht="15" x14ac:dyDescent="0.25">
      <c r="A10" s="7" t="s">
        <v>11</v>
      </c>
      <c r="B10" s="12">
        <f>VLOOKUP(Task_2!A10,Dataset!A5:X44,7,FALSE)</f>
        <v>9.4</v>
      </c>
      <c r="C10" s="12">
        <f>VLOOKUP(Task_2!A10,Dataset!A5:X44,14,FALSE)</f>
        <v>28.3</v>
      </c>
      <c r="D10" s="12">
        <f>VLOOKUP(Task_2!A10,Dataset!A5:X44,18,FALSE)</f>
        <v>16.100000000000001</v>
      </c>
      <c r="E10" s="12">
        <f>VLOOKUP(Task_2!A10,Dataset!A5:X44,20,FALSE)</f>
        <v>32.799999999999997</v>
      </c>
      <c r="F10" s="8">
        <f>VLOOKUP(Task_2!A10,Dataset!A5:X44,22,FALSE)</f>
        <v>16.100000000000001</v>
      </c>
    </row>
    <row r="11" spans="1:7" ht="15" x14ac:dyDescent="0.25">
      <c r="A11" s="7" t="s">
        <v>12</v>
      </c>
      <c r="B11" s="12">
        <f>VLOOKUP(Task_2!A11,Dataset!A6:X45,7,FALSE)</f>
        <v>11.6</v>
      </c>
      <c r="C11" s="12">
        <f>VLOOKUP(Task_2!A11,Dataset!A6:X45,14,FALSE)</f>
        <v>35.200000000000003</v>
      </c>
      <c r="D11" s="12">
        <f>VLOOKUP(Task_2!A11,Dataset!A6:X45,18,FALSE)</f>
        <v>21.3</v>
      </c>
      <c r="E11" s="12">
        <f>VLOOKUP(Task_2!A11,Dataset!A6:X45,20,FALSE)</f>
        <v>43</v>
      </c>
      <c r="F11" s="8">
        <f>VLOOKUP(Task_2!A11,Dataset!A6:X45,22,FALSE)</f>
        <v>21.3</v>
      </c>
    </row>
    <row r="12" spans="1:7" ht="15" x14ac:dyDescent="0.25">
      <c r="A12" s="7" t="s">
        <v>14</v>
      </c>
      <c r="B12" s="12">
        <f>VLOOKUP(Task_2!A12,Dataset!A7:X46,7,FALSE)</f>
        <v>18.399999999999999</v>
      </c>
      <c r="C12" s="12">
        <f>VLOOKUP(Task_2!A12,Dataset!A7:X46,14,FALSE)</f>
        <v>55.6</v>
      </c>
      <c r="D12" s="12">
        <f>VLOOKUP(Task_2!A12,Dataset!A7:X46,18,FALSE)</f>
        <v>33.799999999999997</v>
      </c>
      <c r="E12" s="12">
        <f>VLOOKUP(Task_2!A12,Dataset!A7:X46,20,FALSE)</f>
        <v>67.900000000000006</v>
      </c>
      <c r="F12" s="8">
        <f>VLOOKUP(Task_2!A12,Dataset!A7:X46,22,FALSE)</f>
        <v>33.799999999999997</v>
      </c>
    </row>
    <row r="13" spans="1:7" ht="15" x14ac:dyDescent="0.25">
      <c r="A13" s="7" t="s">
        <v>15</v>
      </c>
      <c r="B13" s="12">
        <f>VLOOKUP(Task_2!A13,Dataset!A8:X47,7,FALSE)</f>
        <v>0</v>
      </c>
      <c r="C13" s="12">
        <f>VLOOKUP(Task_2!A13,Dataset!A8:X47,14,FALSE)</f>
        <v>0</v>
      </c>
      <c r="D13" s="12">
        <f>VLOOKUP(Task_2!A13,Dataset!A8:X47,18,FALSE)</f>
        <v>0</v>
      </c>
      <c r="E13" s="12">
        <f>VLOOKUP(Task_2!A13,Dataset!A8:X47,20,FALSE)</f>
        <v>0</v>
      </c>
      <c r="F13" s="8">
        <f>VLOOKUP(Task_2!A13,Dataset!A8:X47,22,FALSE)</f>
        <v>0</v>
      </c>
    </row>
    <row r="14" spans="1:7" ht="15" x14ac:dyDescent="0.25">
      <c r="A14" s="7" t="s">
        <v>16</v>
      </c>
      <c r="B14" s="12">
        <f>VLOOKUP(Task_2!A14,Dataset!A9:X48,7,FALSE)</f>
        <v>21.9</v>
      </c>
      <c r="C14" s="12">
        <f>VLOOKUP(Task_2!A14,Dataset!A9:X48,14,FALSE)</f>
        <v>61.5</v>
      </c>
      <c r="D14" s="12">
        <f>VLOOKUP(Task_2!A14,Dataset!A9:X48,18,FALSE)</f>
        <v>40.1</v>
      </c>
      <c r="E14" s="12">
        <f>VLOOKUP(Task_2!A14,Dataset!A9:X48,20,FALSE)</f>
        <v>76.599999999999994</v>
      </c>
      <c r="F14" s="8">
        <f>VLOOKUP(Task_2!A14,Dataset!A9:X48,22,FALSE)</f>
        <v>40.1</v>
      </c>
    </row>
    <row r="15" spans="1:7" ht="15" x14ac:dyDescent="0.25">
      <c r="A15" s="7" t="s">
        <v>18</v>
      </c>
      <c r="B15" s="12">
        <f>VLOOKUP(Task_2!A15,Dataset!A10:X49,7,FALSE)</f>
        <v>26.8</v>
      </c>
      <c r="C15" s="12">
        <f>VLOOKUP(Task_2!A15,Dataset!A10:X49,14,FALSE)</f>
        <v>79.599999999999994</v>
      </c>
      <c r="D15" s="12">
        <f>VLOOKUP(Task_2!A15,Dataset!A10:X49,18,FALSE)</f>
        <v>47.9</v>
      </c>
      <c r="E15" s="12">
        <f>VLOOKUP(Task_2!A15,Dataset!A10:X49,20,FALSE)</f>
        <v>96.8</v>
      </c>
      <c r="F15" s="8">
        <f>VLOOKUP(Task_2!A15,Dataset!A10:X49,22,FALSE)</f>
        <v>47.9</v>
      </c>
    </row>
    <row r="16" spans="1:7" ht="15" x14ac:dyDescent="0.25">
      <c r="A16" s="7" t="s">
        <v>20</v>
      </c>
      <c r="B16" s="12">
        <f>VLOOKUP(Task_2!A16,Dataset!A11:X50,7,FALSE)</f>
        <v>28.5</v>
      </c>
      <c r="C16" s="12">
        <f>VLOOKUP(Task_2!A16,Dataset!A11:X50,14,FALSE)</f>
        <v>85.4</v>
      </c>
      <c r="D16" s="12">
        <f>VLOOKUP(Task_2!A16,Dataset!A11:X50,18,FALSE)</f>
        <v>52.3</v>
      </c>
      <c r="E16" s="12">
        <f>VLOOKUP(Task_2!A16,Dataset!A11:X50,20,FALSE)</f>
        <v>106.1</v>
      </c>
      <c r="F16" s="8">
        <f>VLOOKUP(Task_2!A16,Dataset!A11:X50,22,FALSE)</f>
        <v>52.3</v>
      </c>
    </row>
    <row r="17" spans="1:6" ht="15" x14ac:dyDescent="0.25">
      <c r="A17" s="7" t="s">
        <v>22</v>
      </c>
      <c r="B17" s="12">
        <f>VLOOKUP(Task_2!A17,Dataset!A12:X51,7,FALSE)</f>
        <v>30.7</v>
      </c>
      <c r="C17" s="12">
        <f>VLOOKUP(Task_2!A17,Dataset!A12:X51,14,FALSE)</f>
        <v>92.1</v>
      </c>
      <c r="D17" s="12">
        <f>VLOOKUP(Task_2!A17,Dataset!A12:X51,18,FALSE)</f>
        <v>57</v>
      </c>
      <c r="E17" s="12">
        <f>VLOOKUP(Task_2!A17,Dataset!A12:X51,20,FALSE)</f>
        <v>115.1</v>
      </c>
      <c r="F17" s="8">
        <f>VLOOKUP(Task_2!A17,Dataset!A12:X51,22,FALSE)</f>
        <v>57</v>
      </c>
    </row>
    <row r="18" spans="1:6" ht="15" x14ac:dyDescent="0.25">
      <c r="A18" s="7" t="s">
        <v>23</v>
      </c>
      <c r="B18" s="12">
        <f>VLOOKUP(Task_2!A18,Dataset!A13:X52,7,FALSE)</f>
        <v>33.799999999999997</v>
      </c>
      <c r="C18" s="12">
        <f>VLOOKUP(Task_2!A18,Dataset!A13:X52,14,FALSE)</f>
        <v>101.3</v>
      </c>
      <c r="D18" s="12">
        <f>VLOOKUP(Task_2!A18,Dataset!A13:X52,18,FALSE)</f>
        <v>61.4</v>
      </c>
      <c r="E18" s="12">
        <f>VLOOKUP(Task_2!A18,Dataset!A13:X52,20,FALSE)</f>
        <v>124.4</v>
      </c>
      <c r="F18" s="8">
        <f>VLOOKUP(Task_2!A18,Dataset!A13:X52,22,FALSE)</f>
        <v>61.4</v>
      </c>
    </row>
    <row r="19" spans="1:6" ht="15" x14ac:dyDescent="0.25">
      <c r="A19" s="7" t="s">
        <v>24</v>
      </c>
      <c r="B19" s="12">
        <f>VLOOKUP(Task_2!A19,Dataset!A14:X53,7,FALSE)</f>
        <v>34.700000000000003</v>
      </c>
      <c r="C19" s="12">
        <f>VLOOKUP(Task_2!A19,Dataset!A14:X53,14,FALSE)</f>
        <v>106.1</v>
      </c>
      <c r="D19" s="12">
        <f>VLOOKUP(Task_2!A19,Dataset!A14:X53,18,FALSE)</f>
        <v>63.6</v>
      </c>
      <c r="E19" s="12">
        <f>VLOOKUP(Task_2!A19,Dataset!A14:X53,20,FALSE)</f>
        <v>128.6</v>
      </c>
      <c r="F19" s="8">
        <f>VLOOKUP(Task_2!A19,Dataset!A14:X53,22,FALSE)</f>
        <v>63.6</v>
      </c>
    </row>
    <row r="20" spans="1:6" ht="15" x14ac:dyDescent="0.25">
      <c r="A20" s="7" t="s">
        <v>28</v>
      </c>
      <c r="B20" s="12">
        <f>VLOOKUP(Task_2!A20,Dataset!A15:X54,7,FALSE)</f>
        <v>0</v>
      </c>
      <c r="C20" s="12">
        <f>VLOOKUP(Task_2!A20,Dataset!A15:X54,14,FALSE)</f>
        <v>0</v>
      </c>
      <c r="D20" s="12">
        <f>VLOOKUP(Task_2!A20,Dataset!A15:X54,18,FALSE)</f>
        <v>0</v>
      </c>
      <c r="E20" s="12">
        <f>VLOOKUP(Task_2!A20,Dataset!A15:X54,20,FALSE)</f>
        <v>0</v>
      </c>
      <c r="F20" s="8">
        <f>VLOOKUP(Task_2!A20,Dataset!A15:X54,22,FALSE)</f>
        <v>0</v>
      </c>
    </row>
    <row r="21" spans="1:6" ht="15" x14ac:dyDescent="0.25">
      <c r="A21" s="7" t="s">
        <v>57</v>
      </c>
      <c r="B21" s="12">
        <f>VLOOKUP(Task_2!A21,Dataset!A16:X55,7,FALSE)</f>
        <v>41.3</v>
      </c>
      <c r="C21" s="12">
        <f>VLOOKUP(Task_2!A21,Dataset!A16:X55,14,FALSE)</f>
        <v>124.4</v>
      </c>
      <c r="D21" s="12">
        <f>VLOOKUP(Task_2!A21,Dataset!A16:X55,18,FALSE)</f>
        <v>75</v>
      </c>
      <c r="E21" s="12">
        <f>VLOOKUP(Task_2!A21,Dataset!A16:X55,20,FALSE)</f>
        <v>151.5</v>
      </c>
      <c r="F21" s="8">
        <f>VLOOKUP(Task_2!A21,Dataset!A16:X55,22,FALSE)</f>
        <v>75</v>
      </c>
    </row>
    <row r="22" spans="1:6" ht="15" x14ac:dyDescent="0.25">
      <c r="A22" s="7" t="s">
        <v>58</v>
      </c>
      <c r="B22" s="12">
        <f>VLOOKUP(Task_2!A22,Dataset!A17:X56,7,FALSE)</f>
        <v>-1</v>
      </c>
      <c r="C22" s="12">
        <f>VLOOKUP(Task_2!A22,Dataset!A17:X56,14,FALSE)</f>
        <v>-1</v>
      </c>
      <c r="D22" s="12">
        <f>VLOOKUP(Task_2!A22,Dataset!A17:X56,18,FALSE)</f>
        <v>-1</v>
      </c>
      <c r="E22" s="12">
        <f>VLOOKUP(Task_2!A22,Dataset!A17:X56,20,FALSE)</f>
        <v>-1</v>
      </c>
      <c r="F22" s="8">
        <f>VLOOKUP(Task_2!A22,Dataset!A17:X56,22,FALSE)</f>
        <v>-1</v>
      </c>
    </row>
    <row r="23" spans="1:6" ht="15" x14ac:dyDescent="0.25">
      <c r="A23" s="7" t="s">
        <v>31</v>
      </c>
      <c r="B23" s="12">
        <f>VLOOKUP(Task_2!A23,Dataset!A18:X57,7,FALSE)</f>
        <v>45</v>
      </c>
      <c r="C23" s="12">
        <f>VLOOKUP(Task_2!A23,Dataset!A18:X57,14,FALSE)</f>
        <v>133.4</v>
      </c>
      <c r="D23" s="12">
        <f>VLOOKUP(Task_2!A23,Dataset!A18:X57,18,FALSE)</f>
        <v>79.400000000000006</v>
      </c>
      <c r="E23" s="12">
        <f>VLOOKUP(Task_2!A23,Dataset!A18:X57,20,FALSE)</f>
        <v>160.9</v>
      </c>
      <c r="F23" s="8">
        <f>VLOOKUP(Task_2!A23,Dataset!A18:X57,22,FALSE)</f>
        <v>79.400000000000006</v>
      </c>
    </row>
    <row r="24" spans="1:6" ht="15" x14ac:dyDescent="0.25">
      <c r="A24" s="7" t="s">
        <v>32</v>
      </c>
      <c r="B24" s="12">
        <f>VLOOKUP(Task_2!A24,Dataset!A19:X58,7,FALSE)</f>
        <v>-1</v>
      </c>
      <c r="C24" s="12">
        <f>VLOOKUP(Task_2!A24,Dataset!A19:X58,14,FALSE)</f>
        <v>-1</v>
      </c>
      <c r="D24" s="12">
        <f>VLOOKUP(Task_2!A24,Dataset!A19:X58,18,FALSE)</f>
        <v>-1</v>
      </c>
      <c r="E24" s="12">
        <f>VLOOKUP(Task_2!A24,Dataset!A19:X58,20,FALSE)</f>
        <v>-1</v>
      </c>
      <c r="F24" s="8">
        <f>VLOOKUP(Task_2!A24,Dataset!A19:X58,22,FALSE)</f>
        <v>-1</v>
      </c>
    </row>
    <row r="25" spans="1:6" ht="15" x14ac:dyDescent="0.25">
      <c r="A25" s="7" t="s">
        <v>34</v>
      </c>
      <c r="B25" s="12">
        <f>VLOOKUP(Task_2!A25,Dataset!A20:X59,7,FALSE)</f>
        <v>43.3</v>
      </c>
      <c r="C25" s="12">
        <f>VLOOKUP(Task_2!A25,Dataset!A20:X59,14,FALSE)</f>
        <v>128.6</v>
      </c>
      <c r="D25" s="12">
        <f>VLOOKUP(Task_2!A25,Dataset!A20:X59,18,FALSE)</f>
        <v>79.400000000000006</v>
      </c>
      <c r="E25" s="12">
        <f>VLOOKUP(Task_2!A25,Dataset!A20:X59,20,FALSE)</f>
        <v>160.9</v>
      </c>
      <c r="F25" s="8">
        <f>VLOOKUP(Task_2!A25,Dataset!A20:X59,22,FALSE)</f>
        <v>79.400000000000006</v>
      </c>
    </row>
    <row r="26" spans="1:6" ht="15" x14ac:dyDescent="0.25">
      <c r="A26" s="7" t="s">
        <v>37</v>
      </c>
      <c r="B26" s="12">
        <f>VLOOKUP(Task_2!A26,Dataset!A21:X60,7,FALSE)</f>
        <v>49.1</v>
      </c>
      <c r="C26" s="12">
        <f>VLOOKUP(Task_2!A26,Dataset!A21:X60,14,FALSE)</f>
        <v>146.80000000000001</v>
      </c>
      <c r="D26" s="12">
        <f>VLOOKUP(Task_2!A26,Dataset!A21:X60,18,FALSE)</f>
        <v>90.9</v>
      </c>
      <c r="E26" s="12">
        <f>VLOOKUP(Task_2!A26,Dataset!A21:X60,20,FALSE)</f>
        <v>183.5</v>
      </c>
      <c r="F26" s="8">
        <f>VLOOKUP(Task_2!A26,Dataset!A21:X60,22,FALSE)</f>
        <v>90.9</v>
      </c>
    </row>
    <row r="27" spans="1:6" ht="15" x14ac:dyDescent="0.25">
      <c r="A27" s="7" t="s">
        <v>39</v>
      </c>
      <c r="B27" s="12">
        <f>VLOOKUP(Task_2!A27,Dataset!A22:X61,7,FALSE)</f>
        <v>51.8</v>
      </c>
      <c r="C27" s="12">
        <f>VLOOKUP(Task_2!A27,Dataset!A22:X61,14,FALSE)</f>
        <v>156.4</v>
      </c>
      <c r="D27" s="12">
        <f>VLOOKUP(Task_2!A27,Dataset!A22:X61,18,FALSE)</f>
        <v>93.1</v>
      </c>
      <c r="E27" s="12">
        <f>VLOOKUP(Task_2!A27,Dataset!A22:X61,20,FALSE)</f>
        <v>188.1</v>
      </c>
      <c r="F27" s="8">
        <f>VLOOKUP(Task_2!A27,Dataset!A22:X61,22,FALSE)</f>
        <v>93.1</v>
      </c>
    </row>
    <row r="28" spans="1:6" ht="15" x14ac:dyDescent="0.25">
      <c r="A28" s="19" t="s">
        <v>82</v>
      </c>
      <c r="B28" s="31">
        <f>MIN(B6:B27)</f>
        <v>-1</v>
      </c>
      <c r="C28" s="31">
        <f t="shared" ref="C28:F28" si="0">MIN(C6:C27)</f>
        <v>-1</v>
      </c>
      <c r="D28" s="31">
        <f t="shared" si="0"/>
        <v>-1</v>
      </c>
      <c r="E28" s="31">
        <f t="shared" si="0"/>
        <v>-1</v>
      </c>
      <c r="F28" s="31">
        <f t="shared" si="0"/>
        <v>-1</v>
      </c>
    </row>
    <row r="29" spans="1:6" ht="15" x14ac:dyDescent="0.25">
      <c r="A29" s="19" t="s">
        <v>83</v>
      </c>
      <c r="B29" s="31">
        <f>MAX(B6:B27)</f>
        <v>51.8</v>
      </c>
      <c r="C29" s="31">
        <f t="shared" ref="C29:F29" si="1">MAX(C6:C27)</f>
        <v>156.4</v>
      </c>
      <c r="D29" s="31">
        <f t="shared" si="1"/>
        <v>93.1</v>
      </c>
      <c r="E29" s="31">
        <f t="shared" si="1"/>
        <v>188.1</v>
      </c>
      <c r="F29" s="31">
        <f t="shared" si="1"/>
        <v>93.1</v>
      </c>
    </row>
    <row r="30" spans="1:6" ht="15" x14ac:dyDescent="0.25">
      <c r="A30" s="19" t="s">
        <v>84</v>
      </c>
      <c r="B30" s="31">
        <f>AVERAGE(B6:B27)</f>
        <v>20.827272727272728</v>
      </c>
      <c r="C30" s="31">
        <f t="shared" ref="C30:F30" si="2">AVERAGE(C6:C27)</f>
        <v>62.377272727272725</v>
      </c>
      <c r="D30" s="31">
        <f t="shared" si="2"/>
        <v>37.800000000000004</v>
      </c>
      <c r="E30" s="31">
        <f t="shared" si="2"/>
        <v>76.418181818181822</v>
      </c>
      <c r="F30" s="31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4" zoomScaleNormal="100" workbookViewId="0">
      <selection activeCell="B16" sqref="B16"/>
    </sheetView>
  </sheetViews>
  <sheetFormatPr defaultColWidth="11" defaultRowHeight="15" x14ac:dyDescent="0.25"/>
  <cols>
    <col min="1" max="1" width="39.83203125" style="1" bestFit="1" customWidth="1"/>
    <col min="2" max="16384" width="11" style="1"/>
  </cols>
  <sheetData>
    <row r="1" spans="1:10" s="41" customFormat="1" ht="21" x14ac:dyDescent="0.35">
      <c r="A1" s="42" t="s">
        <v>56</v>
      </c>
      <c r="B1" s="41" t="s">
        <v>173</v>
      </c>
    </row>
    <row r="2" spans="1:10" customFormat="1" ht="12.75" x14ac:dyDescent="0.2"/>
    <row r="3" spans="1:10" s="2" customFormat="1" x14ac:dyDescent="0.25">
      <c r="B3" s="1"/>
    </row>
    <row r="4" spans="1:10" s="2" customFormat="1" x14ac:dyDescent="0.25">
      <c r="B4" s="1" t="s">
        <v>150</v>
      </c>
    </row>
    <row r="5" spans="1:10" ht="18.75" x14ac:dyDescent="0.3">
      <c r="A5" s="43" t="s">
        <v>53</v>
      </c>
      <c r="B5" s="40"/>
    </row>
    <row r="6" spans="1:10" ht="18.75" x14ac:dyDescent="0.3">
      <c r="A6" s="43" t="s">
        <v>152</v>
      </c>
      <c r="B6" s="40"/>
    </row>
    <row r="7" spans="1:10" ht="18.75" x14ac:dyDescent="0.3">
      <c r="A7" s="43"/>
      <c r="B7" s="40"/>
    </row>
    <row r="9" spans="1:10" ht="23.25" x14ac:dyDescent="0.35">
      <c r="A9" s="18" t="s">
        <v>164</v>
      </c>
      <c r="I9" s="2"/>
      <c r="J9" s="2"/>
    </row>
    <row r="10" spans="1:10" x14ac:dyDescent="0.2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2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25" x14ac:dyDescent="0.35">
      <c r="A14" s="18" t="s">
        <v>161</v>
      </c>
    </row>
    <row r="15" spans="1:10" x14ac:dyDescent="0.2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2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2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2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2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2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2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24</v>
      </c>
    </row>
    <row r="22" spans="1:6" x14ac:dyDescent="0.2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2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2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2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2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2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2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2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2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2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2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2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2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2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2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2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2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2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2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2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2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2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2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2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2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2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2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2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2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2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2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2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2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G17" sqref="G17"/>
    </sheetView>
  </sheetViews>
  <sheetFormatPr defaultColWidth="11" defaultRowHeight="12.75" x14ac:dyDescent="0.2"/>
  <cols>
    <col min="1" max="1" width="31.1640625" style="2" bestFit="1" customWidth="1"/>
    <col min="2" max="2" width="17.83203125" style="2" bestFit="1" customWidth="1"/>
    <col min="3" max="3" width="11" style="2" bestFit="1" customWidth="1"/>
    <col min="4" max="4" width="13.1640625" style="2" bestFit="1" customWidth="1"/>
    <col min="5" max="5" width="10.83203125" style="2" bestFit="1" customWidth="1"/>
    <col min="6" max="6" width="13.33203125" style="2" bestFit="1" customWidth="1"/>
    <col min="7" max="8" width="14.6640625" style="2" bestFit="1" customWidth="1"/>
    <col min="9" max="9" width="17.83203125" style="2" bestFit="1" customWidth="1"/>
    <col min="10" max="10" width="11" style="2" bestFit="1" customWidth="1"/>
    <col min="11" max="11" width="9" style="2" bestFit="1" customWidth="1"/>
    <col min="12" max="12" width="10.83203125" style="2" bestFit="1" customWidth="1"/>
    <col min="13" max="13" width="12.33203125" style="2" bestFit="1" customWidth="1"/>
    <col min="14" max="14" width="11" style="2" bestFit="1" customWidth="1"/>
    <col min="15" max="15" width="8" style="2" bestFit="1" customWidth="1"/>
    <col min="16" max="16" width="12.33203125" style="2" bestFit="1" customWidth="1"/>
    <col min="17" max="17" width="12.6640625" style="2" bestFit="1" customWidth="1"/>
    <col min="18" max="18" width="24.1640625" style="2" bestFit="1" customWidth="1"/>
    <col min="19" max="19" width="12.6640625" style="2" bestFit="1" customWidth="1"/>
    <col min="20" max="20" width="16" style="2" bestFit="1" customWidth="1"/>
    <col min="21" max="21" width="9" style="2" bestFit="1" customWidth="1"/>
    <col min="22" max="22" width="10.83203125" style="2" bestFit="1" customWidth="1"/>
    <col min="23" max="24" width="13.33203125" style="2" bestFit="1" customWidth="1"/>
    <col min="25" max="25" width="15" style="2" bestFit="1" customWidth="1"/>
    <col min="26" max="16384" width="11" style="2"/>
  </cols>
  <sheetData>
    <row r="1" spans="1:3" ht="21" x14ac:dyDescent="0.35">
      <c r="A1" s="42" t="s">
        <v>85</v>
      </c>
      <c r="B1" s="41" t="s">
        <v>166</v>
      </c>
    </row>
    <row r="2" spans="1:3" ht="18.75" x14ac:dyDescent="0.3">
      <c r="B2" s="40" t="s">
        <v>165</v>
      </c>
    </row>
    <row r="5" spans="1:3" ht="15" x14ac:dyDescent="0.25">
      <c r="B5" s="1" t="s">
        <v>150</v>
      </c>
    </row>
    <row r="6" spans="1:3" ht="15" x14ac:dyDescent="0.25">
      <c r="A6" s="3" t="s">
        <v>53</v>
      </c>
      <c r="B6" s="1" t="s">
        <v>178</v>
      </c>
    </row>
    <row r="7" spans="1:3" ht="15" x14ac:dyDescent="0.25">
      <c r="A7" s="3" t="s">
        <v>152</v>
      </c>
      <c r="B7" s="1"/>
    </row>
    <row r="10" spans="1:3" ht="23.25" x14ac:dyDescent="0.35">
      <c r="A10" s="18" t="s">
        <v>161</v>
      </c>
    </row>
    <row r="11" spans="1:3" ht="15" x14ac:dyDescent="0.25">
      <c r="A11" s="32" t="s">
        <v>86</v>
      </c>
      <c r="B11" s="17" t="s">
        <v>87</v>
      </c>
      <c r="C11" s="17" t="s">
        <v>88</v>
      </c>
    </row>
    <row r="12" spans="1:3" ht="15" x14ac:dyDescent="0.25">
      <c r="A12" s="32">
        <v>44927</v>
      </c>
      <c r="B12" s="17" t="s">
        <v>59</v>
      </c>
      <c r="C12" s="17">
        <v>200</v>
      </c>
    </row>
    <row r="13" spans="1:3" ht="15" x14ac:dyDescent="0.25">
      <c r="A13" s="32">
        <v>44928</v>
      </c>
      <c r="B13" s="17" t="s">
        <v>60</v>
      </c>
      <c r="C13" s="17">
        <v>20</v>
      </c>
    </row>
    <row r="14" spans="1:3" ht="15" x14ac:dyDescent="0.25">
      <c r="A14" s="32">
        <v>44929</v>
      </c>
      <c r="B14" s="17" t="s">
        <v>61</v>
      </c>
      <c r="C14" s="17">
        <v>50</v>
      </c>
    </row>
    <row r="15" spans="1:3" ht="15" x14ac:dyDescent="0.25">
      <c r="A15" s="32">
        <v>44930</v>
      </c>
      <c r="B15" s="17" t="s">
        <v>62</v>
      </c>
      <c r="C15" s="17">
        <v>20</v>
      </c>
    </row>
    <row r="16" spans="1:3" ht="15" x14ac:dyDescent="0.25">
      <c r="A16" s="32">
        <v>44931</v>
      </c>
      <c r="B16" s="17" t="s">
        <v>63</v>
      </c>
      <c r="C16" s="17">
        <v>10</v>
      </c>
    </row>
    <row r="17" spans="1:3" ht="15" x14ac:dyDescent="0.25">
      <c r="A17" s="32">
        <v>44932</v>
      </c>
      <c r="B17" s="17" t="s">
        <v>153</v>
      </c>
      <c r="C17" s="17">
        <v>150</v>
      </c>
    </row>
    <row r="18" spans="1:3" ht="15" x14ac:dyDescent="0.25">
      <c r="A18" s="32">
        <v>44933</v>
      </c>
      <c r="B18" s="17" t="s">
        <v>154</v>
      </c>
      <c r="C18" s="17">
        <v>80</v>
      </c>
    </row>
    <row r="19" spans="1:3" ht="15" x14ac:dyDescent="0.25">
      <c r="A19" s="32">
        <v>44934</v>
      </c>
      <c r="B19" s="17" t="s">
        <v>155</v>
      </c>
      <c r="C19" s="17">
        <v>20</v>
      </c>
    </row>
    <row r="20" spans="1:3" ht="15" x14ac:dyDescent="0.25">
      <c r="A20" s="32">
        <v>44935</v>
      </c>
      <c r="B20" s="17" t="s">
        <v>156</v>
      </c>
      <c r="C20" s="17">
        <v>30</v>
      </c>
    </row>
    <row r="21" spans="1:3" ht="15" x14ac:dyDescent="0.25">
      <c r="A21" s="32">
        <v>44936</v>
      </c>
      <c r="B21" s="17" t="s">
        <v>157</v>
      </c>
      <c r="C21" s="17">
        <v>20</v>
      </c>
    </row>
    <row r="22" spans="1:3" ht="15" x14ac:dyDescent="0.25">
      <c r="B22" s="17" t="s">
        <v>158</v>
      </c>
      <c r="C22" s="25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="87" zoomScaleNormal="100" workbookViewId="0">
      <selection activeCell="O12" sqref="O12"/>
    </sheetView>
  </sheetViews>
  <sheetFormatPr defaultColWidth="11" defaultRowHeight="12.75" x14ac:dyDescent="0.2"/>
  <cols>
    <col min="1" max="1" width="28.1640625" style="2" bestFit="1" customWidth="1"/>
    <col min="2" max="16384" width="11" style="2"/>
  </cols>
  <sheetData>
    <row r="1" spans="1:14" ht="21" x14ac:dyDescent="0.35">
      <c r="A1" s="42" t="s">
        <v>98</v>
      </c>
      <c r="B1" s="41" t="s">
        <v>174</v>
      </c>
    </row>
    <row r="3" spans="1:14" ht="15" x14ac:dyDescent="0.25">
      <c r="B3" s="1" t="s">
        <v>150</v>
      </c>
    </row>
    <row r="4" spans="1:14" ht="18.75" x14ac:dyDescent="0.3">
      <c r="A4" s="43" t="s">
        <v>53</v>
      </c>
      <c r="B4" s="1"/>
    </row>
    <row r="5" spans="1:14" ht="18.75" x14ac:dyDescent="0.3">
      <c r="A5" s="43" t="s">
        <v>152</v>
      </c>
      <c r="B5" s="1"/>
    </row>
    <row r="6" spans="1:14" ht="15" x14ac:dyDescent="0.25">
      <c r="A6" s="3"/>
      <c r="B6" s="1"/>
    </row>
    <row r="8" spans="1:14" ht="23.25" x14ac:dyDescent="0.35">
      <c r="A8" s="18" t="s">
        <v>161</v>
      </c>
      <c r="M8" s="18" t="s">
        <v>162</v>
      </c>
    </row>
    <row r="9" spans="1:14" ht="15" x14ac:dyDescent="0.2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5" x14ac:dyDescent="0.2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5" x14ac:dyDescent="0.2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5" x14ac:dyDescent="0.2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5" x14ac:dyDescent="0.2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5" x14ac:dyDescent="0.2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5" x14ac:dyDescent="0.2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5" x14ac:dyDescent="0.2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5" x14ac:dyDescent="0.2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5" x14ac:dyDescent="0.2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25" x14ac:dyDescent="0.35">
      <c r="A21" s="18" t="s">
        <v>167</v>
      </c>
    </row>
    <row r="22" spans="1:14" ht="15" x14ac:dyDescent="0.25">
      <c r="A22" s="14" t="s">
        <v>100</v>
      </c>
      <c r="B22" s="17" t="s">
        <v>101</v>
      </c>
      <c r="C22" s="16" t="s">
        <v>102</v>
      </c>
    </row>
    <row r="23" spans="1:14" ht="15" x14ac:dyDescent="0.25">
      <c r="A23" s="7">
        <v>10100</v>
      </c>
      <c r="B23" s="12">
        <v>10102</v>
      </c>
      <c r="C23" s="44"/>
    </row>
    <row r="24" spans="1:14" ht="15" x14ac:dyDescent="0.25">
      <c r="A24" s="7">
        <v>10100</v>
      </c>
      <c r="B24" s="12">
        <v>10104</v>
      </c>
      <c r="C24" s="44"/>
    </row>
    <row r="25" spans="1:14" ht="15" x14ac:dyDescent="0.25">
      <c r="A25" s="7">
        <v>10108</v>
      </c>
      <c r="B25" s="12">
        <v>10102</v>
      </c>
      <c r="C25" s="44"/>
    </row>
    <row r="26" spans="1:14" ht="15" x14ac:dyDescent="0.25">
      <c r="A26" s="7">
        <v>10100</v>
      </c>
      <c r="B26" s="12">
        <v>10106</v>
      </c>
      <c r="C26" s="44"/>
    </row>
    <row r="27" spans="1:14" ht="15" x14ac:dyDescent="0.25">
      <c r="A27" s="7">
        <v>10108</v>
      </c>
      <c r="B27" s="12">
        <v>10110</v>
      </c>
      <c r="C27" s="44"/>
    </row>
    <row r="28" spans="1:14" ht="15" x14ac:dyDescent="0.25">
      <c r="A28" s="7">
        <v>10102</v>
      </c>
      <c r="B28" s="12">
        <v>10104</v>
      </c>
      <c r="C28" s="44"/>
    </row>
    <row r="29" spans="1:14" ht="15" x14ac:dyDescent="0.25">
      <c r="A29" s="7">
        <v>10106</v>
      </c>
      <c r="B29" s="12">
        <v>10108</v>
      </c>
      <c r="C29" s="44"/>
    </row>
    <row r="30" spans="1:14" ht="15" x14ac:dyDescent="0.25">
      <c r="A30" s="7">
        <v>10102</v>
      </c>
      <c r="B30" s="12">
        <v>10106</v>
      </c>
      <c r="C30" s="44"/>
    </row>
    <row r="31" spans="1:14" ht="15" x14ac:dyDescent="0.25">
      <c r="A31" s="7">
        <v>10110</v>
      </c>
      <c r="B31" s="12">
        <v>10114</v>
      </c>
      <c r="C31" s="44"/>
    </row>
    <row r="32" spans="1:14" ht="15" x14ac:dyDescent="0.25">
      <c r="A32" s="7">
        <v>10104</v>
      </c>
      <c r="B32" s="12">
        <v>10106</v>
      </c>
      <c r="C32" s="44"/>
    </row>
    <row r="33" spans="1:3" ht="15" x14ac:dyDescent="0.25">
      <c r="A33" s="7">
        <v>10110</v>
      </c>
      <c r="B33" s="12">
        <v>10112</v>
      </c>
      <c r="C33" s="44"/>
    </row>
    <row r="34" spans="1:3" ht="15" x14ac:dyDescent="0.25">
      <c r="A34" s="7">
        <v>10100</v>
      </c>
      <c r="B34" s="12">
        <v>10114</v>
      </c>
      <c r="C34" s="44"/>
    </row>
    <row r="35" spans="1:3" ht="15" x14ac:dyDescent="0.25">
      <c r="A35" s="9">
        <v>10112</v>
      </c>
      <c r="B35" s="13">
        <v>10116</v>
      </c>
      <c r="C35" s="45"/>
    </row>
  </sheetData>
  <phoneticPr fontId="10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Amit Upadhyay</cp:lastModifiedBy>
  <dcterms:created xsi:type="dcterms:W3CDTF">2015-02-10T17:33:11Z</dcterms:created>
  <dcterms:modified xsi:type="dcterms:W3CDTF">2024-10-23T09:19:51Z</dcterms:modified>
</cp:coreProperties>
</file>